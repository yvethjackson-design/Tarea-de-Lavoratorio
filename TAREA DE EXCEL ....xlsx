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da6f8b6df5de4/Documents/"/>
    </mc:Choice>
  </mc:AlternateContent>
  <xr:revisionPtr revIDLastSave="0" documentId="8_{C3986A0E-2D0B-460C-A2EE-6D808EA627EB}" xr6:coauthVersionLast="47" xr6:coauthVersionMax="47" xr10:uidLastSave="{00000000-0000-0000-0000-000000000000}"/>
  <bookViews>
    <workbookView xWindow="-108" yWindow="-108" windowWidth="23256" windowHeight="12456" xr2:uid="{DCFF67D2-3B24-4608-AC34-93330F5E0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5" i="1"/>
  <c r="B23" i="1"/>
  <c r="H2" i="1"/>
  <c r="B16" i="1"/>
  <c r="B17" i="1"/>
  <c r="B18" i="1"/>
  <c r="B15" i="1"/>
  <c r="H3" i="1"/>
  <c r="I3" i="1"/>
  <c r="H4" i="1"/>
  <c r="I4" i="1" s="1"/>
  <c r="H5" i="1"/>
  <c r="I5" i="1" s="1"/>
  <c r="H6" i="1"/>
  <c r="I6" i="1" s="1"/>
  <c r="H7" i="1"/>
  <c r="I7" i="1" s="1"/>
  <c r="H8" i="1"/>
  <c r="I8" i="1" s="1"/>
  <c r="H9" i="1"/>
  <c r="H10" i="1"/>
  <c r="I10" i="1" s="1"/>
  <c r="H11" i="1"/>
  <c r="I11" i="1" s="1"/>
  <c r="I2" i="1"/>
  <c r="I9" i="1" l="1"/>
</calcChain>
</file>

<file path=xl/sharedStrings.xml><?xml version="1.0" encoding="utf-8"?>
<sst xmlns="http://schemas.openxmlformats.org/spreadsheetml/2006/main" count="70" uniqueCount="42">
  <si>
    <t>CODIGO</t>
  </si>
  <si>
    <t>PRODUCTO</t>
  </si>
  <si>
    <t>CATEGORIA</t>
  </si>
  <si>
    <t>EMPLEADO</t>
  </si>
  <si>
    <t>METODO PAGO</t>
  </si>
  <si>
    <t>CANTIDAD</t>
  </si>
  <si>
    <t>PRECIO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</si>
  <si>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</si>
  <si>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</si>
  <si>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</si>
  <si>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</si>
  <si>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</si>
  <si>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</si>
  <si>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</si>
  <si>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</si>
  <si>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</si>
  <si>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</si>
  <si>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ARROZ</t>
  </si>
  <si>
    <t>LECHE</t>
  </si>
  <si>
    <t>CAMISA</t>
  </si>
  <si>
    <t>LAPTOP</t>
  </si>
  <si>
    <t>MOUSE</t>
  </si>
  <si>
    <t>ZAPATOS</t>
  </si>
  <si>
    <t>TABLET</t>
  </si>
  <si>
    <t>REFRESCO</t>
  </si>
  <si>
    <t>CAFÉ</t>
  </si>
  <si>
    <t>AZUCAR</t>
  </si>
  <si>
    <t>ALIMENTOS</t>
  </si>
  <si>
    <t>ROPA</t>
  </si>
  <si>
    <t>TECNOLOGIA</t>
  </si>
  <si>
    <t>BEBIDAS</t>
  </si>
  <si>
    <t>ANA</t>
  </si>
  <si>
    <t>LUIS</t>
  </si>
  <si>
    <t>CARLOS</t>
  </si>
  <si>
    <t>EFECTIVO</t>
  </si>
  <si>
    <t>TARJETA</t>
  </si>
  <si>
    <t>TRANFERENCIA</t>
  </si>
  <si>
    <t>TOTAL</t>
  </si>
  <si>
    <t>ESTADO</t>
  </si>
  <si>
    <t xml:space="preserve">EMPLEADO </t>
  </si>
  <si>
    <t>TOTAL VENDIDO</t>
  </si>
  <si>
    <t xml:space="preserve">LUIS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</si>
</sst>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0594-CD20-45B2-BB88-B346A6464839}">
  <dimension ref="A1:I25"/>
  <sheetViews>
    <sheetView tabSelected="1" zoomScale="192" zoomScaleNormal="130" workbookViewId="0">
      <selection activeCell="A27" sqref="A27"/>
    </sheetView>
  </sheetViews>
  <sheetFormatPr defaultRowHeight="14.4" x14ac:dyDescent="0.3"/>
  <cols>
    <col min="1" max="1" width="12.21875" customWidth="1"/>
    <col min="2" max="2" width="15.6640625" customWidth="1"/>
    <col min="3" max="3" width="13.44140625" customWidth="1"/>
    <col min="4" max="4" width="16.44140625" customWidth="1"/>
    <col min="5" max="5" width="14.6640625" customWidth="1"/>
    <col min="6" max="6" width="16.21875" customWidth="1"/>
    <col min="9" max="9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  <c r="I1" s="1" t="s">
        <v>38</v>
      </c>
    </row>
    <row r="2" spans="1:9" x14ac:dyDescent="0.3">
      <c r="A2" t="s">
        <v>7</v>
      </c>
      <c r="B2" t="s">
        <v>17</v>
      </c>
      <c r="C2" t="s">
        <v>27</v>
      </c>
      <c r="D2" t="s">
        <v>31</v>
      </c>
      <c r="E2" t="s">
        <v>34</v>
      </c>
      <c r="F2">
        <v>3</v>
      </c>
      <c r="G2">
        <v>45</v>
      </c>
      <c r="H2">
        <f>F2*G2</f>
        <v>135</v>
      </c>
      <c r="I2" t="str">
        <f>IF(H2&gt;=5000,"EXCELENTE",IF(H2&gt;=1000,"BUENA","BAJA"))</f>
        <v>BAJA</v>
      </c>
    </row>
    <row r="3" spans="1:9" x14ac:dyDescent="0.3">
      <c r="A3" t="s">
        <v>8</v>
      </c>
      <c r="B3" t="s">
        <v>18</v>
      </c>
      <c r="C3" t="s">
        <v>27</v>
      </c>
      <c r="D3" t="s">
        <v>32</v>
      </c>
      <c r="E3" t="s">
        <v>35</v>
      </c>
      <c r="F3">
        <v>5</v>
      </c>
      <c r="G3">
        <v>38</v>
      </c>
      <c r="H3">
        <f>F3*G3</f>
        <v>190</v>
      </c>
      <c r="I3" t="str">
        <f t="shared" ref="I3:I11" si="0">IF(H3&gt;=5000,"EXCELENTE",IF(H3&gt;=1000,"BUENA","BAJA"))</f>
        <v>BAJA</v>
      </c>
    </row>
    <row r="4" spans="1:9" x14ac:dyDescent="0.3">
      <c r="A4" t="s">
        <v>9</v>
      </c>
      <c r="B4" t="s">
        <v>19</v>
      </c>
      <c r="C4" t="s">
        <v>28</v>
      </c>
      <c r="D4" t="s">
        <v>33</v>
      </c>
      <c r="E4" t="s">
        <v>34</v>
      </c>
      <c r="F4">
        <v>2</v>
      </c>
      <c r="G4">
        <v>650</v>
      </c>
      <c r="H4">
        <f t="shared" ref="H4:H11" si="1">F4*G4</f>
        <v>1300</v>
      </c>
      <c r="I4" t="str">
        <f t="shared" si="0"/>
        <v>BUENA</v>
      </c>
    </row>
    <row r="5" spans="1:9" x14ac:dyDescent="0.3">
      <c r="A5" t="s">
        <v>10</v>
      </c>
      <c r="B5" t="s">
        <v>20</v>
      </c>
      <c r="C5" t="s">
        <v>29</v>
      </c>
      <c r="D5" t="s">
        <v>31</v>
      </c>
      <c r="E5" t="s">
        <v>36</v>
      </c>
      <c r="F5">
        <v>1</v>
      </c>
      <c r="G5">
        <v>18000</v>
      </c>
      <c r="H5">
        <f t="shared" si="1"/>
        <v>18000</v>
      </c>
      <c r="I5" t="str">
        <f t="shared" si="0"/>
        <v>EXCELENTE</v>
      </c>
    </row>
    <row r="6" spans="1:9" x14ac:dyDescent="0.3">
      <c r="A6" t="s">
        <v>11</v>
      </c>
      <c r="B6" t="s">
        <v>21</v>
      </c>
      <c r="C6" t="s">
        <v>29</v>
      </c>
      <c r="D6" t="s">
        <v>32</v>
      </c>
      <c r="E6" t="s">
        <v>35</v>
      </c>
      <c r="F6">
        <v>4</v>
      </c>
      <c r="G6">
        <v>350</v>
      </c>
      <c r="H6">
        <f t="shared" si="1"/>
        <v>1400</v>
      </c>
      <c r="I6" t="str">
        <f t="shared" si="0"/>
        <v>BUENA</v>
      </c>
    </row>
    <row r="7" spans="1:9" x14ac:dyDescent="0.3">
      <c r="A7" t="s">
        <v>12</v>
      </c>
      <c r="B7" t="s">
        <v>22</v>
      </c>
      <c r="C7" t="s">
        <v>28</v>
      </c>
      <c r="D7" t="s">
        <v>33</v>
      </c>
      <c r="E7" t="s">
        <v>34</v>
      </c>
      <c r="F7">
        <v>1</v>
      </c>
      <c r="G7">
        <v>2200</v>
      </c>
      <c r="H7">
        <f t="shared" si="1"/>
        <v>2200</v>
      </c>
      <c r="I7" t="str">
        <f t="shared" si="0"/>
        <v>BUENA</v>
      </c>
    </row>
    <row r="8" spans="1:9" x14ac:dyDescent="0.3">
      <c r="A8" t="s">
        <v>13</v>
      </c>
      <c r="B8" t="s">
        <v>23</v>
      </c>
      <c r="C8" t="s">
        <v>29</v>
      </c>
      <c r="D8" t="s">
        <v>31</v>
      </c>
      <c r="E8" t="s">
        <v>35</v>
      </c>
      <c r="F8">
        <v>2</v>
      </c>
      <c r="G8">
        <v>7200</v>
      </c>
      <c r="H8">
        <f t="shared" si="1"/>
        <v>14400</v>
      </c>
      <c r="I8" t="str">
        <f t="shared" si="0"/>
        <v>EXCELENTE</v>
      </c>
    </row>
    <row r="9" spans="1:9" x14ac:dyDescent="0.3">
      <c r="A9" t="s">
        <v>14</v>
      </c>
      <c r="B9" t="s">
        <v>24</v>
      </c>
      <c r="C9" t="s">
        <v>30</v>
      </c>
      <c r="D9" t="s">
        <v>41</v>
      </c>
      <c r="E9" t="s">
        <v>34</v>
      </c>
      <c r="F9">
        <v>6</v>
      </c>
      <c r="G9">
        <v>25</v>
      </c>
      <c r="H9">
        <f t="shared" si="1"/>
        <v>150</v>
      </c>
      <c r="I9" t="str">
        <f t="shared" si="0"/>
        <v>BAJA</v>
      </c>
    </row>
    <row r="10" spans="1:9" x14ac:dyDescent="0.3">
      <c r="A10" t="s">
        <v>15</v>
      </c>
      <c r="B10" t="s">
        <v>25</v>
      </c>
      <c r="C10" t="s">
        <v>30</v>
      </c>
      <c r="D10" t="s">
        <v>33</v>
      </c>
      <c r="E10" t="s">
        <v>36</v>
      </c>
      <c r="F10">
        <v>3</v>
      </c>
      <c r="G10">
        <v>180</v>
      </c>
      <c r="H10">
        <f t="shared" si="1"/>
        <v>540</v>
      </c>
      <c r="I10" t="str">
        <f t="shared" si="0"/>
        <v>BAJA</v>
      </c>
    </row>
    <row r="11" spans="1:9" x14ac:dyDescent="0.3">
      <c r="A11" t="s">
        <v>16</v>
      </c>
      <c r="B11" t="s">
        <v>26</v>
      </c>
      <c r="C11" t="s">
        <v>27</v>
      </c>
      <c r="D11" t="s">
        <v>31</v>
      </c>
      <c r="E11" t="s">
        <v>35</v>
      </c>
      <c r="F11">
        <v>2</v>
      </c>
      <c r="G11">
        <v>55</v>
      </c>
      <c r="H11">
        <f t="shared" si="1"/>
        <v>110</v>
      </c>
      <c r="I11" t="str">
        <f t="shared" si="0"/>
        <v>BAJA</v>
      </c>
    </row>
    <row r="14" spans="1:9" x14ac:dyDescent="0.3">
      <c r="A14" s="1" t="s">
        <v>2</v>
      </c>
      <c r="B14" s="1" t="s">
        <v>37</v>
      </c>
    </row>
    <row r="15" spans="1:9" x14ac:dyDescent="0.3">
      <c r="A15" t="s">
        <v>27</v>
      </c>
      <c r="B15">
        <f>SUMIF(C2:C11,A15,H2:H11)</f>
        <v>435</v>
      </c>
    </row>
    <row r="16" spans="1:9" x14ac:dyDescent="0.3">
      <c r="A16" t="s">
        <v>28</v>
      </c>
      <c r="B16">
        <f t="shared" ref="B16:B19" si="2">SUMIF(C3:C12,A16,H3:H12)</f>
        <v>3500</v>
      </c>
    </row>
    <row r="17" spans="1:2" x14ac:dyDescent="0.3">
      <c r="A17" t="s">
        <v>29</v>
      </c>
      <c r="B17">
        <f t="shared" si="2"/>
        <v>33800</v>
      </c>
    </row>
    <row r="18" spans="1:2" x14ac:dyDescent="0.3">
      <c r="A18" t="s">
        <v>30</v>
      </c>
      <c r="B18">
        <f t="shared" si="2"/>
        <v>690</v>
      </c>
    </row>
    <row r="22" spans="1:2" x14ac:dyDescent="0.3">
      <c r="A22" s="1" t="s">
        <v>39</v>
      </c>
      <c r="B22" s="1" t="s">
        <v>40</v>
      </c>
    </row>
    <row r="23" spans="1:2" x14ac:dyDescent="0.3">
      <c r="A23" t="s">
        <v>31</v>
      </c>
      <c r="B23">
        <f>SUMIF(D2:D11,A23,H2:H11)</f>
        <v>32645</v>
      </c>
    </row>
    <row r="24" spans="1:2" x14ac:dyDescent="0.3">
      <c r="A24" t="s">
        <v>32</v>
      </c>
      <c r="B24">
        <f t="shared" ref="B24:B25" si="3">SUMIF(D3:D12,A24,H3:H12)</f>
        <v>1590</v>
      </c>
    </row>
    <row r="25" spans="1:2" x14ac:dyDescent="0.3">
      <c r="A25" t="s">
        <v>33</v>
      </c>
      <c r="B25">
        <f t="shared" si="3"/>
        <v>4040</v>
      </c>
    </row>
  </sheetData>
  <conditionalFormatting sqref="H2:H11">
    <cfRule type="cellIs" dxfId="5" priority="4" operator="lessThan">
      <formula>1000</formula>
    </cfRule>
    <cfRule type="cellIs" dxfId="4" priority="5" operator="lessThan">
      <formula>4999</formula>
    </cfRule>
    <cfRule type="cellIs" dxfId="3" priority="6" operator="greaterThan">
      <formula>5000</formula>
    </cfRule>
  </conditionalFormatting>
  <conditionalFormatting sqref="I2:I11">
    <cfRule type="containsText" dxfId="2" priority="1" operator="containsText" text="BAJA">
      <formula>NOT(ISERROR(SEARCH("BAJA",I2)))</formula>
    </cfRule>
    <cfRule type="containsText" dxfId="1" priority="2" operator="containsText" text="BUENA">
      <formula>NOT(ISERROR(SEARCH("BUENA",I2)))</formula>
    </cfRule>
    <cfRule type="containsText" dxfId="0" priority="3" operator="containsText" text="EXCELENTE">
      <formula>NOT(ISERROR(SEARCH("EXCELENTE",I2)))</formula>
    </cfRule>
  </conditionalFormatting>
  <dataValidations count="3">
    <dataValidation type="list" allowBlank="1" showInputMessage="1" showErrorMessage="1" sqref="C2:C11" xr:uid="{33FEF1AE-391C-441D-93E0-45AFAE0138E4}">
      <formula1>$A$15:$A$18</formula1>
    </dataValidation>
    <dataValidation type="list" allowBlank="1" showInputMessage="1" showErrorMessage="1" sqref="H3:H11" xr:uid="{F249657D-2375-4B88-96EB-09CB50D83546}">
      <formula1>#REF!</formula1>
    </dataValidation>
    <dataValidation type="list" allowBlank="1" showInputMessage="1" showErrorMessage="1" sqref="D2:D11" xr:uid="{B77DE29A-B5BE-4EC3-8CD7-53AA2B7D7579}">
      <formula1>$A$23:$A$25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jackson</dc:creator>
  <cp:lastModifiedBy>karen jackson</cp:lastModifiedBy>
  <dcterms:created xsi:type="dcterms:W3CDTF">2026-05-24T03:53:09Z</dcterms:created>
  <dcterms:modified xsi:type="dcterms:W3CDTF">2026-05-24T05:43:33Z</dcterms:modified>
</cp:coreProperties>
</file>